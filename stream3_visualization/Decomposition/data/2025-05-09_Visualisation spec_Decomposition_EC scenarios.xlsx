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ms-office.chartex+xml" PartName="/xl/charts/chartEx1.xml"/>
  <Override ContentType="application/vnd.ms-office.chartex+xml" PartName="/xl/charts/chartEx3.xml"/>
  <Override ContentType="application/vnd.ms-office.chartex+xml" PartName="/xl/charts/chartEx4.xml"/>
  <Override ContentType="application/vnd.ms-office.chartex+xml" PartName="/xl/charts/chartEx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office.chartstyle+xml" PartName="/xl/charts/style2.xml"/>
  <Override ContentType="application/vnd.ms-office.chartstyle+xml" PartName="/xl/charts/style1.xml"/>
  <Override ContentType="application/vnd.ms-office.chartstyle+xml" PartName="/xl/charts/style4.xml"/>
  <Override ContentType="application/vnd.ms-office.chartstyle+xml" PartName="/xl/charts/style3.xml"/>
  <Override ContentType="application/vnd.openxmlformats-package.core-properties+xml" PartName="/docProps/core.xml"/>
  <Override ContentType="application/vnd.ms-office.chartcolorstyle+xml" PartName="/xl/charts/colors3.xml"/>
  <Override ContentType="application/vnd.ms-office.chartcolorstyle+xml" PartName="/xl/charts/colors2.xml"/>
  <Override ContentType="application/vnd.ms-office.chartcolorstyle+xml" PartName="/xl/charts/colors1.xml"/>
  <Override ContentType="application/vnd.ms-office.chartcolorstyle+xml" PartName="/xl/charts/colors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ings residential" sheetId="1" r:id="rId4"/>
    <sheet state="visible" name="Structure" sheetId="2" r:id="rId5"/>
    <sheet state="visible" name="Buildings services" sheetId="3" r:id="rId6"/>
    <sheet state="visible" name="Feuille 1" sheetId="4" r:id="rId7"/>
    <sheet state="visible" name="PassLandTransport" sheetId="5" r:id="rId8"/>
    <sheet state="visible" name="Industry" sheetId="6" r:id="rId9"/>
  </sheets>
  <definedNames>
    <definedName name="_xlchart.v1.10">Industry!$B$2:$B$12</definedName>
    <definedName name="_xlchart.v1.2">'Buildings residential'!$B$3:$B$13</definedName>
    <definedName name="_xlchart.v1.6">PassLandTransport!$A$2:$A$12</definedName>
    <definedName name="_xlchart.v1.0">'Buildings residential'!$A$3:$A$13</definedName>
    <definedName name="_xlchart.v1.8">PassLandTransport!$B$2:$B$12</definedName>
    <definedName name="_xlchart.v1.5">'Buildings services'!$B$2:$B$12</definedName>
    <definedName name="_xlchart.v1.4">'Buildings services'!$B$1</definedName>
    <definedName name="_xlchart.v1.3">'Buildings residential'!$A$3:$A$13</definedName>
    <definedName name="_xlchart.v1.9">Industry!$A$2:$A$12</definedName>
    <definedName name="_xlchart.v1.1">'Buildings residential'!$B$2</definedName>
    <definedName name="_xlchart.v1.7">PassLandTransport!$B$1</definedName>
  </definedNames>
  <calcPr/>
  <extLst>
    <ext uri="GoogleSheetsCustomDataVersion2">
      <go:sheetsCustomData xmlns:go="http://customooxmlschemas.google.com/" r:id="rId10" roundtripDataChecksum="CPAnqaWQ3Uks8N1YDppeDf/Ca/tpu6ix7QJrQ3my0qw="/>
    </ext>
  </extLst>
</workbook>
</file>

<file path=xl/sharedStrings.xml><?xml version="1.0" encoding="utf-8"?>
<sst xmlns="http://schemas.openxmlformats.org/spreadsheetml/2006/main" count="220" uniqueCount="28">
  <si>
    <t>CO2 Emissions (M tons)</t>
  </si>
  <si>
    <t>variable</t>
  </si>
  <si>
    <t>Commission Scenario</t>
  </si>
  <si>
    <t>Sufficiency Scenario</t>
  </si>
  <si>
    <t>Definitions</t>
  </si>
  <si>
    <t>Pop</t>
  </si>
  <si>
    <t>m2cap</t>
  </si>
  <si>
    <t>-&gt; sobriété négative (la commission prévoit une croissance du nombre de m2 / hab)</t>
  </si>
  <si>
    <t>FE_m2</t>
  </si>
  <si>
    <t>Efficacity énergétique</t>
  </si>
  <si>
    <t>CO2e_FE</t>
  </si>
  <si>
    <t>Energy supply decarbonation</t>
  </si>
  <si>
    <t>Scenario</t>
  </si>
  <si>
    <t>Sector</t>
  </si>
  <si>
    <t>Variable</t>
  </si>
  <si>
    <t>Data_type</t>
  </si>
  <si>
    <t>CO2 Emissions</t>
  </si>
  <si>
    <t>Commission 1</t>
  </si>
  <si>
    <t>Buildings residential</t>
  </si>
  <si>
    <t>Absolute</t>
  </si>
  <si>
    <t>%</t>
  </si>
  <si>
    <t>Sufficiency</t>
  </si>
  <si>
    <t>...</t>
  </si>
  <si>
    <t>CO2</t>
  </si>
  <si>
    <t>pkmcap</t>
  </si>
  <si>
    <t>FE_pkm</t>
  </si>
  <si>
    <t>t_cap</t>
  </si>
  <si>
    <t>FE_Mton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</si>
</sst>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 shrinkToFit="0" wrapText="1"/>
    </xf>
    <xf borderId="0" fillId="0" fontId="4" numFmtId="49" xfId="0" applyFont="1" applyNumberFormat="1"/>
    <xf borderId="0" fillId="0" fontId="4" numFmtId="1" xfId="0" applyFont="1" applyNumberFormat="1"/>
    <xf borderId="0" fillId="0" fontId="3" numFmtId="1" xfId="0" applyFont="1" applyNumberFormat="1"/>
    <xf borderId="0" fillId="0" fontId="5" numFmtId="49" xfId="0" applyAlignment="1" applyFont="1" applyNumberFormat="1">
      <alignment readingOrder="0"/>
    </xf>
    <xf borderId="0" fillId="0" fontId="5" numFmtId="1" xfId="0" applyAlignment="1" applyFont="1" applyNumberFormat="1">
      <alignment readingOrder="0"/>
    </xf>
    <xf borderId="0" fillId="0" fontId="3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Ex2.xml.rels><?xml version="1.0" encoding="UTF-8" standalone="yes"?>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Ex3.xml.rels><?xml version="1.0" encoding="UTF-8" standalone="yes"?>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Ex4.xml.rels><?xml version="1.0" encoding="UTF-8" standalone="yes"?>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'Buildings residential'!$B$3:$B$13</cx:f>
      </cx:num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PRIMES EU27 Residential Emissions, Scenario: S1</a:t>
          </a:r>
        </a:p>
      </cx:txPr>
    </cx:title>
    <cx:plotArea>
      <cx:plotAreaRegion>
        <cx:series layoutId="waterfall" uniqueId="{8F9695CD-8452-4B3B-A135-E49BB8381C4E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Mt CO2</a:t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t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2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'Buildings services'!$B$2:$B$12</cx:f>
      </cx:num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PRIMES EU27 Service Buildings Emissions, Scenario: S1</a:t>
          </a:r>
        </a:p>
      </cx:txPr>
    </cx:title>
    <cx:plotArea>
      <cx:plotAreaRegion>
        <cx:series layoutId="waterfall" uniqueId="{1B4345CA-8E7A-449E-8537-93B2C3688DC0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Mt CO2</a:t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t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3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PassLandTransport!$B$2:$B$12</cx:f>
      </cx:num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PRIMES EU27 Passenger Land Transport Emissions, Scenario: S1</a:t>
          </a:r>
        </a:p>
      </cx:txPr>
    </cx:title>
    <cx:plotArea>
      <cx:plotAreaRegion>
        <cx:series layoutId="waterfall" uniqueId="{5E5EE997-82C6-4048-94AA-6E66D7DCE6B5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0.0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Mt CO2</a:t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t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4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Industry!$B$2:$B$12</cx:f>
      </cx:num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PRIMES EU27 Industry Emissions, Scenario: S1</a:t>
          </a:r>
        </a:p>
      </cx:txPr>
    </cx:title>
    <cx:plotArea>
      <cx:plotAreaRegion>
        <cx:series layoutId="waterfall" uniqueId="{6B7B1D4D-6BFE-4EBB-B162-536A17E824D1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0.0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Mt CO2</a:t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t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2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3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4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0</xdr:row>
      <xdr:rowOff>161925</xdr:rowOff>
    </xdr:from>
    <xdr:ext cx="7029450" cy="3600450"/>
    <mc:AlternateContent>
      <mc:Choice Requires="cx1">
        <xdr:graphicFrame>
          <xdr:nvGraphicFramePr>
            <xdr:cNvPr id="1145326528" name="Chart 1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2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0</xdr:row>
      <xdr:rowOff>114300</xdr:rowOff>
    </xdr:from>
    <xdr:ext cx="7029450" cy="3600450"/>
    <mc:AlternateContent>
      <mc:Choice Requires="cx1">
        <xdr:graphicFrame>
          <xdr:nvGraphicFramePr>
            <xdr:cNvPr id="869569533" name="Char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4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114300</xdr:rowOff>
    </xdr:from>
    <xdr:ext cx="6962775" cy="3600450"/>
    <mc:AlternateContent>
      <mc:Choice Requires="cx1">
        <xdr:graphicFrame>
          <xdr:nvGraphicFramePr>
            <xdr:cNvPr id="1703353013" name="Chart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6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371475</xdr:colOff>
      <xdr:row>0</xdr:row>
      <xdr:rowOff>0</xdr:rowOff>
    </xdr:from>
    <xdr:ext cx="7048500" cy="3638550"/>
    <mc:AlternateContent>
      <mc:Choice Requires="cx1">
        <xdr:graphicFrame>
          <xdr:nvGraphicFramePr>
            <xdr:cNvPr id="961343894" name="Chart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8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2.38"/>
    <col customWidth="1" min="3" max="3" width="9.88"/>
    <col customWidth="1" min="4" max="4" width="24.75"/>
    <col customWidth="1" min="5" max="26" width="8.75"/>
  </cols>
  <sheetData>
    <row r="1" ht="14.25" customHeight="1">
      <c r="A1" s="1" t="s">
        <v>0</v>
      </c>
      <c r="C1" s="2"/>
      <c r="D1" s="2"/>
    </row>
    <row r="2" ht="14.25" customHeight="1">
      <c r="A2" s="3" t="s">
        <v>1</v>
      </c>
      <c r="B2" s="4" t="s">
        <v>2</v>
      </c>
      <c r="C2" s="4" t="s">
        <v>3</v>
      </c>
      <c r="D2" s="4" t="s">
        <v>4</v>
      </c>
    </row>
    <row r="3" ht="14.25" customHeight="1">
      <c r="A3" s="5">
        <v>2015.0</v>
      </c>
      <c r="B3" s="6">
        <v>598.031895887453</v>
      </c>
      <c r="C3" s="7">
        <f t="shared" ref="C3:C4" si="1">B3</f>
        <v>598.0318959</v>
      </c>
    </row>
    <row r="4" ht="14.25" customHeight="1">
      <c r="A4" s="5" t="s">
        <v>5</v>
      </c>
      <c r="B4" s="6">
        <v>-1.21826742815253</v>
      </c>
      <c r="C4" s="7">
        <f t="shared" si="1"/>
        <v>-1.218267428</v>
      </c>
    </row>
    <row r="5" ht="14.25" customHeight="1">
      <c r="A5" s="5" t="s">
        <v>6</v>
      </c>
      <c r="B5" s="6">
        <v>52.7724799622719</v>
      </c>
      <c r="C5" s="2">
        <v>0.0</v>
      </c>
      <c r="D5" s="2" t="s">
        <v>7</v>
      </c>
    </row>
    <row r="6" ht="14.25" customHeight="1">
      <c r="A6" s="5" t="s">
        <v>8</v>
      </c>
      <c r="B6" s="6">
        <v>-180.913454582841</v>
      </c>
      <c r="C6" s="7">
        <f t="shared" ref="C6:C7" si="2">B6</f>
        <v>-180.9134546</v>
      </c>
      <c r="D6" s="2" t="s">
        <v>9</v>
      </c>
    </row>
    <row r="7" ht="14.25" customHeight="1">
      <c r="A7" s="5" t="s">
        <v>10</v>
      </c>
      <c r="B7" s="6">
        <v>-376.558808662409</v>
      </c>
      <c r="C7" s="7">
        <f t="shared" si="2"/>
        <v>-376.5588087</v>
      </c>
      <c r="D7" s="2" t="s">
        <v>11</v>
      </c>
    </row>
    <row r="8" ht="14.25" customHeight="1">
      <c r="A8" s="5">
        <v>2040.0</v>
      </c>
      <c r="B8" s="6">
        <v>92.113845176322</v>
      </c>
      <c r="C8" s="7">
        <f>C3+sum(C4:C7)</f>
        <v>39.34136521</v>
      </c>
    </row>
    <row r="9" ht="14.25" customHeight="1">
      <c r="A9" s="5" t="s">
        <v>5</v>
      </c>
      <c r="B9" s="6">
        <v>-0.0685622480809458</v>
      </c>
      <c r="C9" s="7">
        <f t="shared" ref="C9:C11" si="3">B9</f>
        <v>-0.06856224808</v>
      </c>
    </row>
    <row r="10" ht="14.25" customHeight="1">
      <c r="A10" s="5" t="s">
        <v>6</v>
      </c>
      <c r="B10" s="6">
        <v>0.477121650585131</v>
      </c>
      <c r="C10" s="7">
        <f t="shared" si="3"/>
        <v>0.4771216506</v>
      </c>
    </row>
    <row r="11" ht="14.25" customHeight="1">
      <c r="A11" s="5" t="s">
        <v>8</v>
      </c>
      <c r="B11" s="6">
        <v>-1.32326548535336</v>
      </c>
      <c r="C11" s="7">
        <f t="shared" si="3"/>
        <v>-1.323265485</v>
      </c>
    </row>
    <row r="12" ht="14.25" customHeight="1">
      <c r="A12" s="5" t="s">
        <v>10</v>
      </c>
      <c r="B12" s="6">
        <v>-91.1891390934728</v>
      </c>
      <c r="C12" s="2">
        <v>-38.0</v>
      </c>
    </row>
    <row r="13" ht="14.25" customHeight="1">
      <c r="A13" s="5">
        <v>2050.0</v>
      </c>
      <c r="B13" s="6">
        <v>0.01</v>
      </c>
      <c r="C13" s="7">
        <f>C8+sum(C9:C12)</f>
        <v>0.4266591312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13"/>
  </cols>
  <sheetData>
    <row r="1">
      <c r="A1" s="2" t="s">
        <v>12</v>
      </c>
      <c r="B1" s="2" t="s">
        <v>13</v>
      </c>
      <c r="C1" s="2" t="s">
        <v>14</v>
      </c>
      <c r="D1" s="4" t="s">
        <v>15</v>
      </c>
      <c r="E1" s="4" t="s">
        <v>16</v>
      </c>
      <c r="F1" s="4"/>
    </row>
    <row r="2">
      <c r="A2" s="8" t="s">
        <v>17</v>
      </c>
      <c r="B2" s="8" t="s">
        <v>18</v>
      </c>
      <c r="C2" s="5">
        <v>2015.0</v>
      </c>
      <c r="D2" s="9" t="s">
        <v>19</v>
      </c>
      <c r="E2" s="6">
        <v>598.031895887453</v>
      </c>
    </row>
    <row r="3">
      <c r="A3" s="8" t="s">
        <v>17</v>
      </c>
      <c r="B3" s="8" t="s">
        <v>18</v>
      </c>
      <c r="C3" s="5" t="s">
        <v>5</v>
      </c>
      <c r="D3" s="9" t="s">
        <v>19</v>
      </c>
      <c r="E3" s="6">
        <v>-1.21826742815253</v>
      </c>
    </row>
    <row r="4">
      <c r="A4" s="8" t="s">
        <v>17</v>
      </c>
      <c r="B4" s="8" t="s">
        <v>18</v>
      </c>
      <c r="C4" s="5" t="s">
        <v>6</v>
      </c>
      <c r="D4" s="9" t="s">
        <v>19</v>
      </c>
      <c r="E4" s="6">
        <v>52.7724799622719</v>
      </c>
    </row>
    <row r="5">
      <c r="A5" s="8" t="s">
        <v>17</v>
      </c>
      <c r="B5" s="8" t="s">
        <v>18</v>
      </c>
      <c r="C5" s="5" t="s">
        <v>8</v>
      </c>
      <c r="D5" s="9" t="s">
        <v>19</v>
      </c>
      <c r="E5" s="6">
        <v>-180.913454582841</v>
      </c>
    </row>
    <row r="6">
      <c r="A6" s="8" t="s">
        <v>17</v>
      </c>
      <c r="B6" s="8" t="s">
        <v>18</v>
      </c>
      <c r="C6" s="5" t="s">
        <v>10</v>
      </c>
      <c r="D6" s="9" t="s">
        <v>19</v>
      </c>
      <c r="E6" s="6">
        <v>-376.558808662409</v>
      </c>
    </row>
    <row r="7">
      <c r="A7" s="8" t="s">
        <v>17</v>
      </c>
      <c r="B7" s="8" t="s">
        <v>18</v>
      </c>
      <c r="C7" s="5">
        <v>2040.0</v>
      </c>
      <c r="D7" s="9" t="s">
        <v>19</v>
      </c>
      <c r="E7" s="6">
        <v>92.113845176322</v>
      </c>
    </row>
    <row r="8">
      <c r="A8" s="8" t="s">
        <v>17</v>
      </c>
      <c r="B8" s="8" t="s">
        <v>18</v>
      </c>
      <c r="C8" s="5" t="s">
        <v>5</v>
      </c>
      <c r="D8" s="9" t="s">
        <v>19</v>
      </c>
      <c r="E8" s="6">
        <v>-0.0685622480809458</v>
      </c>
    </row>
    <row r="9">
      <c r="A9" s="8" t="s">
        <v>17</v>
      </c>
      <c r="B9" s="8" t="s">
        <v>18</v>
      </c>
      <c r="C9" s="5" t="s">
        <v>6</v>
      </c>
      <c r="D9" s="9" t="s">
        <v>19</v>
      </c>
      <c r="E9" s="6">
        <v>0.477121650585131</v>
      </c>
    </row>
    <row r="10">
      <c r="A10" s="8" t="s">
        <v>17</v>
      </c>
      <c r="B10" s="8" t="s">
        <v>18</v>
      </c>
      <c r="C10" s="5" t="s">
        <v>8</v>
      </c>
      <c r="D10" s="9" t="s">
        <v>19</v>
      </c>
      <c r="E10" s="6">
        <v>-1.32326548535336</v>
      </c>
    </row>
    <row r="11">
      <c r="A11" s="8" t="s">
        <v>17</v>
      </c>
      <c r="B11" s="8" t="s">
        <v>18</v>
      </c>
      <c r="C11" s="5" t="s">
        <v>10</v>
      </c>
      <c r="D11" s="9" t="s">
        <v>19</v>
      </c>
      <c r="E11" s="6">
        <v>-91.1891390934728</v>
      </c>
    </row>
    <row r="12">
      <c r="A12" s="8" t="s">
        <v>17</v>
      </c>
      <c r="B12" s="8" t="s">
        <v>18</v>
      </c>
      <c r="C12" s="5">
        <v>2050.0</v>
      </c>
      <c r="D12" s="9" t="s">
        <v>19</v>
      </c>
      <c r="E12" s="6">
        <v>0.01</v>
      </c>
    </row>
    <row r="13">
      <c r="A13" s="8" t="s">
        <v>17</v>
      </c>
      <c r="B13" s="8" t="s">
        <v>18</v>
      </c>
      <c r="C13" s="5">
        <v>2015.0</v>
      </c>
      <c r="D13" s="2" t="s">
        <v>20</v>
      </c>
      <c r="E13" s="10">
        <f t="shared" ref="E13:E23" si="1">E2/$E$2</f>
        <v>1</v>
      </c>
      <c r="F13" s="10"/>
    </row>
    <row r="14">
      <c r="A14" s="8" t="s">
        <v>17</v>
      </c>
      <c r="B14" s="8" t="s">
        <v>18</v>
      </c>
      <c r="C14" s="5" t="s">
        <v>5</v>
      </c>
      <c r="D14" s="2" t="s">
        <v>20</v>
      </c>
      <c r="E14" s="10">
        <f t="shared" si="1"/>
        <v>-0.002037127846</v>
      </c>
      <c r="F14" s="10"/>
    </row>
    <row r="15">
      <c r="A15" s="8" t="s">
        <v>17</v>
      </c>
      <c r="B15" s="8" t="s">
        <v>18</v>
      </c>
      <c r="C15" s="5" t="s">
        <v>6</v>
      </c>
      <c r="D15" s="2" t="s">
        <v>20</v>
      </c>
      <c r="E15" s="10">
        <f t="shared" si="1"/>
        <v>0.08824358755</v>
      </c>
      <c r="F15" s="10"/>
    </row>
    <row r="16">
      <c r="A16" s="8" t="s">
        <v>17</v>
      </c>
      <c r="B16" s="8" t="s">
        <v>18</v>
      </c>
      <c r="C16" s="5" t="s">
        <v>8</v>
      </c>
      <c r="D16" s="2" t="s">
        <v>20</v>
      </c>
      <c r="E16" s="10">
        <f t="shared" si="1"/>
        <v>-0.3025147251</v>
      </c>
      <c r="F16" s="10"/>
    </row>
    <row r="17">
      <c r="A17" s="8" t="s">
        <v>17</v>
      </c>
      <c r="B17" s="8" t="s">
        <v>18</v>
      </c>
      <c r="C17" s="5" t="s">
        <v>10</v>
      </c>
      <c r="D17" s="2" t="s">
        <v>20</v>
      </c>
      <c r="E17" s="10">
        <f t="shared" si="1"/>
        <v>-0.6296634197</v>
      </c>
      <c r="F17" s="10"/>
    </row>
    <row r="18">
      <c r="A18" s="8" t="s">
        <v>17</v>
      </c>
      <c r="B18" s="8" t="s">
        <v>18</v>
      </c>
      <c r="C18" s="5">
        <v>2040.0</v>
      </c>
      <c r="D18" s="2" t="s">
        <v>20</v>
      </c>
      <c r="E18" s="10">
        <f t="shared" si="1"/>
        <v>0.1540283149</v>
      </c>
      <c r="F18" s="10"/>
    </row>
    <row r="19">
      <c r="A19" s="8" t="s">
        <v>17</v>
      </c>
      <c r="B19" s="8" t="s">
        <v>18</v>
      </c>
      <c r="C19" s="5" t="s">
        <v>5</v>
      </c>
      <c r="D19" s="2" t="s">
        <v>20</v>
      </c>
      <c r="E19" s="10">
        <f t="shared" si="1"/>
        <v>-0.0001146464738</v>
      </c>
      <c r="F19" s="10"/>
    </row>
    <row r="20">
      <c r="A20" s="8" t="s">
        <v>17</v>
      </c>
      <c r="B20" s="8" t="s">
        <v>18</v>
      </c>
      <c r="C20" s="5" t="s">
        <v>6</v>
      </c>
      <c r="D20" s="2" t="s">
        <v>20</v>
      </c>
      <c r="E20" s="10">
        <f t="shared" si="1"/>
        <v>0.0007978197382</v>
      </c>
      <c r="F20" s="10"/>
    </row>
    <row r="21">
      <c r="A21" s="8" t="s">
        <v>17</v>
      </c>
      <c r="B21" s="8" t="s">
        <v>18</v>
      </c>
      <c r="C21" s="5" t="s">
        <v>8</v>
      </c>
      <c r="D21" s="2" t="s">
        <v>20</v>
      </c>
      <c r="E21" s="10">
        <f t="shared" si="1"/>
        <v>-0.002212700517</v>
      </c>
      <c r="F21" s="10"/>
    </row>
    <row r="22">
      <c r="A22" s="8" t="s">
        <v>17</v>
      </c>
      <c r="B22" s="8" t="s">
        <v>18</v>
      </c>
      <c r="C22" s="5" t="s">
        <v>10</v>
      </c>
      <c r="D22" s="2" t="s">
        <v>20</v>
      </c>
      <c r="E22" s="10">
        <f t="shared" si="1"/>
        <v>-0.1524820661</v>
      </c>
      <c r="F22" s="10"/>
    </row>
    <row r="23">
      <c r="A23" s="8" t="s">
        <v>17</v>
      </c>
      <c r="B23" s="8" t="s">
        <v>18</v>
      </c>
      <c r="C23" s="5">
        <v>2050.0</v>
      </c>
      <c r="D23" s="2" t="s">
        <v>20</v>
      </c>
      <c r="E23" s="10">
        <f t="shared" si="1"/>
        <v>0.00001672151614</v>
      </c>
      <c r="F23" s="10"/>
    </row>
    <row r="24">
      <c r="A24" s="2" t="s">
        <v>21</v>
      </c>
      <c r="B24" s="8" t="s">
        <v>18</v>
      </c>
      <c r="C24" s="5">
        <v>2015.0</v>
      </c>
      <c r="D24" s="9" t="s">
        <v>19</v>
      </c>
      <c r="E24" s="7">
        <f t="shared" ref="E24:E25" si="2">E2</f>
        <v>598.0318959</v>
      </c>
    </row>
    <row r="25">
      <c r="A25" s="2" t="s">
        <v>21</v>
      </c>
      <c r="B25" s="8" t="s">
        <v>18</v>
      </c>
      <c r="C25" s="5" t="s">
        <v>5</v>
      </c>
      <c r="D25" s="9" t="s">
        <v>19</v>
      </c>
      <c r="E25" s="7">
        <f t="shared" si="2"/>
        <v>-1.218267428</v>
      </c>
    </row>
    <row r="26">
      <c r="A26" s="2" t="s">
        <v>21</v>
      </c>
      <c r="B26" s="8" t="s">
        <v>18</v>
      </c>
      <c r="C26" s="5" t="s">
        <v>6</v>
      </c>
      <c r="D26" s="9" t="s">
        <v>19</v>
      </c>
      <c r="E26" s="2">
        <v>0.0</v>
      </c>
    </row>
    <row r="27">
      <c r="A27" s="2" t="s">
        <v>21</v>
      </c>
      <c r="B27" s="8" t="s">
        <v>18</v>
      </c>
      <c r="C27" s="5" t="s">
        <v>8</v>
      </c>
      <c r="D27" s="9" t="s">
        <v>19</v>
      </c>
      <c r="E27" s="7">
        <f t="shared" ref="E27:E28" si="3">E5</f>
        <v>-180.9134546</v>
      </c>
    </row>
    <row r="28">
      <c r="A28" s="2" t="s">
        <v>21</v>
      </c>
      <c r="B28" s="8" t="s">
        <v>18</v>
      </c>
      <c r="C28" s="5" t="s">
        <v>10</v>
      </c>
      <c r="D28" s="9" t="s">
        <v>19</v>
      </c>
      <c r="E28" s="7">
        <f t="shared" si="3"/>
        <v>-376.5588087</v>
      </c>
    </row>
    <row r="29">
      <c r="A29" s="2" t="s">
        <v>21</v>
      </c>
      <c r="B29" s="8" t="s">
        <v>18</v>
      </c>
      <c r="C29" s="5">
        <v>2040.0</v>
      </c>
      <c r="D29" s="9" t="s">
        <v>19</v>
      </c>
      <c r="E29" s="7">
        <f>E24+sum(E25:E28)</f>
        <v>39.34136521</v>
      </c>
    </row>
    <row r="30">
      <c r="A30" s="2" t="s">
        <v>21</v>
      </c>
      <c r="B30" s="8" t="s">
        <v>18</v>
      </c>
      <c r="C30" s="5" t="s">
        <v>5</v>
      </c>
      <c r="D30" s="9" t="s">
        <v>19</v>
      </c>
      <c r="E30" s="7">
        <f t="shared" ref="E30:E32" si="4">E8</f>
        <v>-0.06856224808</v>
      </c>
    </row>
    <row r="31">
      <c r="A31" s="2" t="s">
        <v>21</v>
      </c>
      <c r="B31" s="8" t="s">
        <v>18</v>
      </c>
      <c r="C31" s="5" t="s">
        <v>6</v>
      </c>
      <c r="D31" s="9" t="s">
        <v>19</v>
      </c>
      <c r="E31" s="7">
        <f t="shared" si="4"/>
        <v>0.4771216506</v>
      </c>
    </row>
    <row r="32">
      <c r="A32" s="2" t="s">
        <v>21</v>
      </c>
      <c r="B32" s="8" t="s">
        <v>18</v>
      </c>
      <c r="C32" s="5" t="s">
        <v>8</v>
      </c>
      <c r="D32" s="9" t="s">
        <v>19</v>
      </c>
      <c r="E32" s="7">
        <f t="shared" si="4"/>
        <v>-1.323265485</v>
      </c>
    </row>
    <row r="33">
      <c r="A33" s="2" t="s">
        <v>21</v>
      </c>
      <c r="B33" s="8" t="s">
        <v>18</v>
      </c>
      <c r="C33" s="5" t="s">
        <v>10</v>
      </c>
      <c r="D33" s="9" t="s">
        <v>19</v>
      </c>
      <c r="E33" s="2">
        <v>-38.0</v>
      </c>
    </row>
    <row r="34">
      <c r="A34" s="2" t="s">
        <v>21</v>
      </c>
      <c r="B34" s="8" t="s">
        <v>18</v>
      </c>
      <c r="C34" s="5">
        <v>2050.0</v>
      </c>
      <c r="D34" s="9" t="s">
        <v>19</v>
      </c>
      <c r="E34" s="7">
        <f>E29+sum(E30:E33)</f>
        <v>0.4266591312</v>
      </c>
    </row>
    <row r="35">
      <c r="A35" s="2" t="s">
        <v>21</v>
      </c>
      <c r="B35" s="8" t="s">
        <v>18</v>
      </c>
      <c r="C35" s="5">
        <v>2015.0</v>
      </c>
      <c r="D35" s="2" t="s">
        <v>20</v>
      </c>
      <c r="E35" s="10">
        <f t="shared" ref="E35:E45" si="5">E24/$E$24</f>
        <v>1</v>
      </c>
    </row>
    <row r="36">
      <c r="A36" s="2" t="s">
        <v>21</v>
      </c>
      <c r="B36" s="8" t="s">
        <v>18</v>
      </c>
      <c r="C36" s="5" t="s">
        <v>5</v>
      </c>
      <c r="D36" s="2" t="s">
        <v>20</v>
      </c>
      <c r="E36" s="10">
        <f t="shared" si="5"/>
        <v>-0.002037127846</v>
      </c>
    </row>
    <row r="37">
      <c r="A37" s="2" t="s">
        <v>21</v>
      </c>
      <c r="B37" s="8" t="s">
        <v>18</v>
      </c>
      <c r="C37" s="5" t="s">
        <v>6</v>
      </c>
      <c r="D37" s="2" t="s">
        <v>20</v>
      </c>
      <c r="E37" s="10">
        <f t="shared" si="5"/>
        <v>0</v>
      </c>
    </row>
    <row r="38">
      <c r="A38" s="2" t="s">
        <v>21</v>
      </c>
      <c r="B38" s="8" t="s">
        <v>18</v>
      </c>
      <c r="C38" s="5" t="s">
        <v>8</v>
      </c>
      <c r="D38" s="2" t="s">
        <v>20</v>
      </c>
      <c r="E38" s="10">
        <f t="shared" si="5"/>
        <v>-0.3025147251</v>
      </c>
    </row>
    <row r="39">
      <c r="A39" s="2" t="s">
        <v>21</v>
      </c>
      <c r="B39" s="8" t="s">
        <v>18</v>
      </c>
      <c r="C39" s="5" t="s">
        <v>10</v>
      </c>
      <c r="D39" s="2" t="s">
        <v>20</v>
      </c>
      <c r="E39" s="10">
        <f t="shared" si="5"/>
        <v>-0.6296634197</v>
      </c>
    </row>
    <row r="40">
      <c r="A40" s="2" t="s">
        <v>21</v>
      </c>
      <c r="B40" s="8" t="s">
        <v>18</v>
      </c>
      <c r="C40" s="5">
        <v>2040.0</v>
      </c>
      <c r="D40" s="2" t="s">
        <v>20</v>
      </c>
      <c r="E40" s="10">
        <f t="shared" si="5"/>
        <v>0.06578472734</v>
      </c>
    </row>
    <row r="41">
      <c r="A41" s="2" t="s">
        <v>21</v>
      </c>
      <c r="B41" s="8" t="s">
        <v>18</v>
      </c>
      <c r="C41" s="5" t="s">
        <v>5</v>
      </c>
      <c r="D41" s="2" t="s">
        <v>20</v>
      </c>
      <c r="E41" s="10">
        <f t="shared" si="5"/>
        <v>-0.0001146464738</v>
      </c>
    </row>
    <row r="42">
      <c r="A42" s="2" t="s">
        <v>21</v>
      </c>
      <c r="B42" s="8" t="s">
        <v>18</v>
      </c>
      <c r="C42" s="5" t="s">
        <v>6</v>
      </c>
      <c r="D42" s="2" t="s">
        <v>20</v>
      </c>
      <c r="E42" s="10">
        <f t="shared" si="5"/>
        <v>0.0007978197382</v>
      </c>
    </row>
    <row r="43">
      <c r="A43" s="2" t="s">
        <v>21</v>
      </c>
      <c r="B43" s="8" t="s">
        <v>18</v>
      </c>
      <c r="C43" s="5" t="s">
        <v>8</v>
      </c>
      <c r="D43" s="2" t="s">
        <v>20</v>
      </c>
      <c r="E43" s="10">
        <f t="shared" si="5"/>
        <v>-0.002212700517</v>
      </c>
    </row>
    <row r="44">
      <c r="A44" s="2" t="s">
        <v>21</v>
      </c>
      <c r="B44" s="8" t="s">
        <v>18</v>
      </c>
      <c r="C44" s="5" t="s">
        <v>10</v>
      </c>
      <c r="D44" s="2" t="s">
        <v>20</v>
      </c>
      <c r="E44" s="10">
        <f t="shared" si="5"/>
        <v>-0.06354176134</v>
      </c>
    </row>
    <row r="45">
      <c r="A45" s="2" t="s">
        <v>21</v>
      </c>
      <c r="B45" s="8" t="s">
        <v>18</v>
      </c>
      <c r="C45" s="5">
        <v>2050.0</v>
      </c>
      <c r="D45" s="2" t="s">
        <v>20</v>
      </c>
      <c r="E45" s="10">
        <f t="shared" si="5"/>
        <v>0.0007134387549</v>
      </c>
    </row>
    <row r="46">
      <c r="A46" s="2" t="s">
        <v>22</v>
      </c>
      <c r="B46" s="2" t="s">
        <v>22</v>
      </c>
      <c r="C46" s="2" t="s">
        <v>22</v>
      </c>
      <c r="D46" s="2" t="s">
        <v>22</v>
      </c>
      <c r="E46" s="2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75"/>
  </cols>
  <sheetData>
    <row r="1" ht="14.25" customHeight="1">
      <c r="A1" s="2" t="s">
        <v>1</v>
      </c>
      <c r="B1" s="3" t="s">
        <v>23</v>
      </c>
    </row>
    <row r="2" ht="14.25" customHeight="1">
      <c r="A2" s="3">
        <v>2015.0</v>
      </c>
      <c r="B2" s="6">
        <v>443.007595910743</v>
      </c>
    </row>
    <row r="3" ht="14.25" customHeight="1">
      <c r="A3" s="3" t="s">
        <v>5</v>
      </c>
      <c r="B3" s="6">
        <v>-0.858207153872004</v>
      </c>
    </row>
    <row r="4" ht="14.25" customHeight="1">
      <c r="A4" s="3" t="s">
        <v>6</v>
      </c>
      <c r="B4" s="6">
        <v>37.1755156418073</v>
      </c>
    </row>
    <row r="5" ht="14.25" customHeight="1">
      <c r="A5" s="3" t="s">
        <v>8</v>
      </c>
      <c r="B5" s="6">
        <v>-100.129674557934</v>
      </c>
    </row>
    <row r="6" ht="14.25" customHeight="1">
      <c r="A6" s="3" t="s">
        <v>10</v>
      </c>
      <c r="B6" s="6">
        <v>-320.153260821954</v>
      </c>
    </row>
    <row r="7" ht="14.25" customHeight="1">
      <c r="A7" s="3">
        <v>2040.0</v>
      </c>
      <c r="B7" s="6">
        <v>59.041969018789</v>
      </c>
    </row>
    <row r="8" ht="14.25" customHeight="1">
      <c r="A8" s="3" t="s">
        <v>5</v>
      </c>
      <c r="B8" s="6">
        <v>-0.0461943375994177</v>
      </c>
    </row>
    <row r="9" ht="14.25" customHeight="1">
      <c r="A9" s="3" t="s">
        <v>6</v>
      </c>
      <c r="B9" s="6">
        <v>0.321464351301603</v>
      </c>
    </row>
    <row r="10" ht="14.25" customHeight="1">
      <c r="A10" s="3" t="s">
        <v>8</v>
      </c>
      <c r="B10" s="6">
        <v>-0.574141900979589</v>
      </c>
    </row>
    <row r="11" ht="14.25" customHeight="1">
      <c r="A11" s="3" t="s">
        <v>10</v>
      </c>
      <c r="B11" s="6">
        <v>-58.7330971315116</v>
      </c>
    </row>
    <row r="12" ht="14.25" customHeight="1">
      <c r="A12" s="3">
        <v>2050.0</v>
      </c>
      <c r="B12" s="6">
        <v>0.01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75"/>
  </cols>
  <sheetData>
    <row r="1" ht="14.25" customHeight="1">
      <c r="A1" s="3" t="s">
        <v>1</v>
      </c>
      <c r="B1" s="3" t="s">
        <v>23</v>
      </c>
    </row>
    <row r="2" ht="14.25" customHeight="1">
      <c r="A2" s="3">
        <v>2015.0</v>
      </c>
      <c r="B2" s="6">
        <v>578.338393546879</v>
      </c>
    </row>
    <row r="3" ht="14.25" customHeight="1">
      <c r="A3" s="3" t="s">
        <v>5</v>
      </c>
      <c r="B3" s="6">
        <v>-1.33194054958793</v>
      </c>
    </row>
    <row r="4" ht="14.25" customHeight="1">
      <c r="A4" s="3" t="s">
        <v>24</v>
      </c>
      <c r="B4" s="6">
        <v>66.8972159888549</v>
      </c>
    </row>
    <row r="5" ht="14.25" customHeight="1">
      <c r="A5" s="3" t="s">
        <v>25</v>
      </c>
      <c r="B5" s="6">
        <v>-305.54650540626</v>
      </c>
    </row>
    <row r="6" ht="14.25" customHeight="1">
      <c r="A6" s="3" t="s">
        <v>10</v>
      </c>
      <c r="B6" s="6">
        <v>-214.971635834595</v>
      </c>
    </row>
    <row r="7" ht="14.25" customHeight="1">
      <c r="A7" s="3">
        <v>2040.0</v>
      </c>
      <c r="B7" s="6">
        <v>124.71746829488</v>
      </c>
    </row>
    <row r="8" ht="14.25" customHeight="1">
      <c r="A8" s="3" t="s">
        <v>5</v>
      </c>
      <c r="B8" s="6">
        <v>-0.0898497252941561</v>
      </c>
    </row>
    <row r="9" ht="14.25" customHeight="1">
      <c r="A9" s="3" t="s">
        <v>24</v>
      </c>
      <c r="B9" s="6">
        <v>0.491294030881103</v>
      </c>
    </row>
    <row r="10" ht="14.25" customHeight="1">
      <c r="A10" s="3" t="s">
        <v>25</v>
      </c>
      <c r="B10" s="6">
        <v>-5.57041313611163</v>
      </c>
    </row>
    <row r="11" ht="14.25" customHeight="1">
      <c r="A11" s="3" t="s">
        <v>10</v>
      </c>
      <c r="B11" s="6">
        <v>-119.628349189649</v>
      </c>
    </row>
    <row r="12" ht="14.25" customHeight="1">
      <c r="A12" s="3">
        <v>2050.0</v>
      </c>
      <c r="B12" s="6">
        <v>0.01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75"/>
  </cols>
  <sheetData>
    <row r="1" ht="14.25" customHeight="1">
      <c r="A1" s="3" t="s">
        <v>1</v>
      </c>
      <c r="B1" s="3" t="s">
        <v>23</v>
      </c>
    </row>
    <row r="2" ht="14.25" customHeight="1">
      <c r="A2" s="3">
        <v>2015.0</v>
      </c>
      <c r="B2" s="6">
        <v>341.930326991219</v>
      </c>
    </row>
    <row r="3" ht="14.25" customHeight="1">
      <c r="A3" s="3" t="s">
        <v>5</v>
      </c>
      <c r="B3" s="6">
        <v>-1.04586831663741</v>
      </c>
    </row>
    <row r="4" ht="14.25" customHeight="1">
      <c r="A4" s="3" t="s">
        <v>26</v>
      </c>
      <c r="B4" s="6">
        <v>13.4207839426974</v>
      </c>
    </row>
    <row r="5" ht="14.25" customHeight="1">
      <c r="A5" s="3" t="s">
        <v>27</v>
      </c>
      <c r="B5" s="6">
        <v>-70.9613300522887</v>
      </c>
    </row>
    <row r="6" ht="14.25" customHeight="1">
      <c r="A6" s="3" t="s">
        <v>10</v>
      </c>
      <c r="B6" s="6">
        <v>-134.461211698164</v>
      </c>
    </row>
    <row r="7" ht="14.25" customHeight="1">
      <c r="A7" s="3">
        <v>2040.0</v>
      </c>
      <c r="B7" s="6">
        <v>148.882700866826</v>
      </c>
    </row>
    <row r="8" ht="14.25" customHeight="1">
      <c r="A8" s="3" t="s">
        <v>5</v>
      </c>
      <c r="B8" s="6">
        <v>-0.343806182203043</v>
      </c>
    </row>
    <row r="9" ht="14.25" customHeight="1">
      <c r="A9" s="3" t="s">
        <v>26</v>
      </c>
      <c r="B9" s="6">
        <v>-0.477100753188947</v>
      </c>
    </row>
    <row r="10" ht="14.25" customHeight="1">
      <c r="A10" s="3" t="s">
        <v>27</v>
      </c>
      <c r="B10" s="6">
        <v>-2.35307653117175</v>
      </c>
    </row>
    <row r="11" ht="14.25" customHeight="1">
      <c r="A11" s="3" t="s">
        <v>10</v>
      </c>
      <c r="B11" s="6">
        <v>-136.24274967058</v>
      </c>
    </row>
    <row r="12" ht="14.25" customHeight="1">
      <c r="A12" s="3">
        <v>2050.0</v>
      </c>
      <c r="B12" s="6">
        <v>9.46596772968192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2024-12-03T14:51:33Z</dcterms:created>
  <dc:creator>Yamina SAHEB</dc:creator>
</cp:coreProperties>
</file>